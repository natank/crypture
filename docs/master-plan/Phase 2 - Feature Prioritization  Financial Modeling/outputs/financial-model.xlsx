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Cost Structure" sheetId="3" state="visible" r:id="rId3"/>
    <sheet xmlns:r="http://schemas.openxmlformats.org/officeDocument/2006/relationships" name="P&amp;L Projection" sheetId="4" state="visible" r:id="rId4"/>
    <sheet xmlns:r="http://schemas.openxmlformats.org/officeDocument/2006/relationships" name="Break-even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Unit Economics" sheetId="7" state="visible" r:id="rId7"/>
    <sheet xmlns:r="http://schemas.openxmlformats.org/officeDocument/2006/relationships" name="Funding &amp; Runwa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&quot;x&quot;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color rgb="000000FF"/>
    </font>
    <font>
      <color rgb="00000000"/>
    </font>
    <font>
      <b val="1"/>
      <color rgb="00000000"/>
      <sz val="12"/>
    </font>
    <font>
      <b val="1"/>
      <color rgb="00000000"/>
      <sz val="13"/>
    </font>
    <font>
      <b val="1"/>
      <color rgb="00FF0000"/>
      <sz val="12"/>
    </font>
    <font>
      <b val="1"/>
      <color rgb="00FF0000"/>
      <sz val="11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5" fontId="4" fillId="0" borderId="0" pivotButton="0" quotePrefix="0" xfId="0"/>
    <xf numFmtId="9" fontId="0" fillId="0" borderId="0" pivotButton="0" quotePrefix="0" xfId="0"/>
    <xf numFmtId="0" fontId="5" fillId="0" borderId="0" pivotButton="0" quotePrefix="0" xfId="0"/>
    <xf numFmtId="165" fontId="2" fillId="0" borderId="0" pivotButton="0" quotePrefix="0" xfId="0"/>
    <xf numFmtId="0" fontId="6" fillId="0" borderId="0" pivotButton="0" quotePrefix="0" xfId="0"/>
    <xf numFmtId="165" fontId="7" fillId="0" borderId="0" pivotButton="0" quotePrefix="0" xfId="0"/>
    <xf numFmtId="9" fontId="4" fillId="0" borderId="0" pivotButton="0" quotePrefix="0" xfId="0"/>
    <xf numFmtId="0" fontId="8" fillId="0" borderId="0" pivotButton="0" quotePrefix="0" xfId="0"/>
    <xf numFmtId="165" fontId="9" fillId="0" borderId="0" pivotButton="0" quotePrefix="0" xfId="0"/>
    <xf numFmtId="165" fontId="0" fillId="0" borderId="0" pivotButton="0" quotePrefix="0" xfId="0"/>
    <xf numFmtId="164" fontId="10" fillId="0" borderId="0" pivotButton="0" quotePrefix="0" xfId="0"/>
    <xf numFmtId="164" fontId="4" fillId="0" borderId="0" pivotButton="0" quotePrefix="0" xfId="0"/>
    <xf numFmtId="165" fontId="10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CRYPTURE FINANCIAL MODEL - ASSUMPTIONS</t>
        </is>
      </c>
    </row>
    <row r="3">
      <c r="A3" s="2" t="inlineStr">
        <is>
          <t>USER GROWTH ASSUMPTIONS</t>
        </is>
      </c>
    </row>
    <row r="4">
      <c r="B4" s="3" t="inlineStr">
        <is>
          <t>Conservative</t>
        </is>
      </c>
      <c r="C4" s="3" t="inlineStr">
        <is>
          <t>Moderate</t>
        </is>
      </c>
      <c r="D4" s="3" t="inlineStr">
        <is>
          <t>Aggressive</t>
        </is>
      </c>
    </row>
    <row r="5">
      <c r="A5" t="inlineStr">
        <is>
          <t>Month 1 Users</t>
        </is>
      </c>
      <c r="B5" s="4" t="n">
        <v>500</v>
      </c>
      <c r="C5" s="4" t="n">
        <v>1000</v>
      </c>
      <c r="D5" s="4" t="n">
        <v>2000</v>
      </c>
    </row>
    <row r="6">
      <c r="A6" t="inlineStr">
        <is>
          <t>Monthly Growth Rate (Y1)</t>
        </is>
      </c>
      <c r="B6" s="4" t="inlineStr">
        <is>
          <t>10%</t>
        </is>
      </c>
      <c r="C6" s="4" t="inlineStr">
        <is>
          <t>15%</t>
        </is>
      </c>
      <c r="D6" s="4" t="inlineStr">
        <is>
          <t>20%</t>
        </is>
      </c>
    </row>
    <row r="7">
      <c r="A7" t="inlineStr">
        <is>
          <t>Monthly Growth Rate (Y2)</t>
        </is>
      </c>
      <c r="B7" s="4" t="inlineStr">
        <is>
          <t>8%</t>
        </is>
      </c>
      <c r="C7" s="4" t="inlineStr">
        <is>
          <t>12%</t>
        </is>
      </c>
      <c r="D7" s="4" t="inlineStr">
        <is>
          <t>15%</t>
        </is>
      </c>
    </row>
    <row r="8">
      <c r="A8" t="inlineStr">
        <is>
          <t>Monthly Growth Rate (Y3)</t>
        </is>
      </c>
      <c r="B8" s="4" t="inlineStr">
        <is>
          <t>5%</t>
        </is>
      </c>
      <c r="C8" s="4" t="inlineStr">
        <is>
          <t>8%</t>
        </is>
      </c>
      <c r="D8" s="4" t="inlineStr">
        <is>
          <t>10%</t>
        </is>
      </c>
    </row>
    <row r="10">
      <c r="A10" s="2" t="inlineStr">
        <is>
          <t>CONVERSION ASSUMPTIONS</t>
        </is>
      </c>
    </row>
    <row r="11">
      <c r="B11" s="3" t="inlineStr">
        <is>
          <t>Conservative</t>
        </is>
      </c>
      <c r="C11" s="3" t="inlineStr">
        <is>
          <t>Moderate</t>
        </is>
      </c>
      <c r="D11" s="3" t="inlineStr">
        <is>
          <t>Aggressive</t>
        </is>
      </c>
    </row>
    <row r="12">
      <c r="A12" t="inlineStr">
        <is>
          <t>Free → Premium (Y1)</t>
        </is>
      </c>
      <c r="B12" s="4" t="inlineStr">
        <is>
          <t>3%</t>
        </is>
      </c>
      <c r="C12" s="4" t="inlineStr">
        <is>
          <t>5%</t>
        </is>
      </c>
      <c r="D12" s="4" t="inlineStr">
        <is>
          <t>7%</t>
        </is>
      </c>
    </row>
    <row r="13">
      <c r="A13" t="inlineStr">
        <is>
          <t>Free → Premium (Y2)</t>
        </is>
      </c>
      <c r="B13" s="4" t="inlineStr">
        <is>
          <t>4%</t>
        </is>
      </c>
      <c r="C13" s="4" t="inlineStr">
        <is>
          <t>6%</t>
        </is>
      </c>
      <c r="D13" s="4" t="inlineStr">
        <is>
          <t>9%</t>
        </is>
      </c>
    </row>
    <row r="14">
      <c r="A14" t="inlineStr">
        <is>
          <t>Free → Premium (Y3)</t>
        </is>
      </c>
      <c r="B14" s="4" t="inlineStr">
        <is>
          <t>5%</t>
        </is>
      </c>
      <c r="C14" s="4" t="inlineStr">
        <is>
          <t>7%</t>
        </is>
      </c>
      <c r="D14" s="4" t="inlineStr">
        <is>
          <t>10%</t>
        </is>
      </c>
    </row>
    <row r="15">
      <c r="A15" t="inlineStr">
        <is>
          <t>Free → Pro (All Years)</t>
        </is>
      </c>
      <c r="B15" s="4" t="inlineStr">
        <is>
          <t>0.5%</t>
        </is>
      </c>
      <c r="C15" s="4" t="inlineStr">
        <is>
          <t>1%</t>
        </is>
      </c>
      <c r="D15" s="4" t="inlineStr">
        <is>
          <t>1.5%</t>
        </is>
      </c>
    </row>
    <row r="18">
      <c r="A18" s="2" t="inlineStr">
        <is>
          <t>CHURN ASSUMPTIONS</t>
        </is>
      </c>
    </row>
    <row r="19">
      <c r="B19" s="3" t="inlineStr">
        <is>
          <t>Conservative</t>
        </is>
      </c>
      <c r="C19" s="3" t="inlineStr">
        <is>
          <t>Moderate</t>
        </is>
      </c>
      <c r="D19" s="3" t="inlineStr">
        <is>
          <t>Aggressive</t>
        </is>
      </c>
    </row>
    <row r="20">
      <c r="A20" t="inlineStr">
        <is>
          <t>Premium Monthly Churn</t>
        </is>
      </c>
      <c r="B20" s="4" t="inlineStr">
        <is>
          <t>6%</t>
        </is>
      </c>
      <c r="C20" s="4" t="inlineStr">
        <is>
          <t>5%</t>
        </is>
      </c>
      <c r="D20" s="4" t="inlineStr">
        <is>
          <t>4%</t>
        </is>
      </c>
    </row>
    <row r="21">
      <c r="A21" t="inlineStr">
        <is>
          <t>Pro Monthly Churn</t>
        </is>
      </c>
      <c r="B21" s="4" t="inlineStr">
        <is>
          <t>4%</t>
        </is>
      </c>
      <c r="C21" s="4" t="inlineStr">
        <is>
          <t>3%</t>
        </is>
      </c>
      <c r="D21" s="4" t="inlineStr">
        <is>
          <t>2%</t>
        </is>
      </c>
    </row>
    <row r="24">
      <c r="A24" s="2" t="inlineStr">
        <is>
          <t>PRICING ASSUMPTIONS</t>
        </is>
      </c>
    </row>
    <row r="25">
      <c r="B25" s="3" t="inlineStr">
        <is>
          <t>Monthly</t>
        </is>
      </c>
      <c r="C25" s="3" t="inlineStr">
        <is>
          <t>Annual</t>
        </is>
      </c>
      <c r="D25" s="3" t="inlineStr">
        <is>
          <t>Discount</t>
        </is>
      </c>
    </row>
    <row r="26">
      <c r="A26" t="inlineStr">
        <is>
          <t>Premium</t>
        </is>
      </c>
      <c r="B26" s="5" t="n">
        <v>9.99</v>
      </c>
      <c r="C26" s="6" t="n">
        <v>99</v>
      </c>
      <c r="D26" s="4" t="inlineStr">
        <is>
          <t>17%</t>
        </is>
      </c>
    </row>
    <row r="27">
      <c r="A27" t="inlineStr">
        <is>
          <t>Pro</t>
        </is>
      </c>
      <c r="B27" s="5" t="n">
        <v>19.99</v>
      </c>
      <c r="C27" s="6" t="n">
        <v>199</v>
      </c>
      <c r="D27" s="4" t="inlineStr">
        <is>
          <t>17%</t>
        </is>
      </c>
    </row>
    <row r="28">
      <c r="A28" t="inlineStr">
        <is>
          <t>Annual Adoption Rate</t>
        </is>
      </c>
      <c r="B28" s="4" t="inlineStr">
        <is>
          <t>30%</t>
        </is>
      </c>
      <c r="C28" s="4" t="inlineStr">
        <is>
          <t>35%</t>
        </is>
      </c>
      <c r="D28" s="4" t="inlineStr">
        <is>
          <t>40%</t>
        </is>
      </c>
    </row>
    <row r="31">
      <c r="A31" s="2" t="inlineStr">
        <is>
          <t>COST ASSUMPTIONS (Monthly)</t>
        </is>
      </c>
    </row>
    <row r="32">
      <c r="B32" s="3" t="inlineStr">
        <is>
          <t>Year 1</t>
        </is>
      </c>
      <c r="C32" s="3" t="inlineStr">
        <is>
          <t>Year 2</t>
        </is>
      </c>
      <c r="D32" s="3" t="inlineStr">
        <is>
          <t>Year 3</t>
        </is>
      </c>
    </row>
    <row r="33">
      <c r="A33" t="inlineStr">
        <is>
          <t>Infrastructure</t>
        </is>
      </c>
      <c r="B33" s="6" t="n">
        <v>500</v>
      </c>
      <c r="C33" s="6" t="n">
        <v>2000</v>
      </c>
      <c r="D33" s="6" t="n">
        <v>5000</v>
      </c>
    </row>
    <row r="34">
      <c r="A34" t="inlineStr">
        <is>
          <t>API Costs (per 1K users)</t>
        </is>
      </c>
      <c r="B34" s="6" t="n">
        <v>50</v>
      </c>
      <c r="C34" s="6" t="n">
        <v>40</v>
      </c>
      <c r="D34" s="6" t="n">
        <v>30</v>
      </c>
    </row>
    <row r="35">
      <c r="A35" t="inlineStr">
        <is>
          <t>Payment Processing</t>
        </is>
      </c>
      <c r="B35" s="4" t="inlineStr">
        <is>
          <t>2.9% + $0.30</t>
        </is>
      </c>
      <c r="C35" s="4" t="inlineStr">
        <is>
          <t>2.9% + $0.30</t>
        </is>
      </c>
      <c r="D35" s="4" t="inlineStr">
        <is>
          <t>2.9% + $0.30</t>
        </is>
      </c>
    </row>
    <row r="36">
      <c r="A36" t="inlineStr">
        <is>
          <t>Support (per 1K users)</t>
        </is>
      </c>
      <c r="B36" s="6" t="n">
        <v>200</v>
      </c>
      <c r="C36" s="6" t="n">
        <v>150</v>
      </c>
      <c r="D36" s="6" t="n">
        <v>100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1" t="inlineStr">
        <is>
          <t>REVENUE MODEL - MODERATE SCENARIO</t>
        </is>
      </c>
    </row>
    <row r="3">
      <c r="A3" s="2" t="inlineStr">
        <is>
          <t>YEAR 1 - MONTHLY PROJECTIONS</t>
        </is>
      </c>
    </row>
    <row r="4">
      <c r="A4" s="3" t="inlineStr">
        <is>
          <t>Month</t>
        </is>
      </c>
      <c r="B4" s="3" t="inlineStr">
        <is>
          <t>Total Users</t>
        </is>
      </c>
      <c r="C4" s="3" t="inlineStr">
        <is>
          <t>Growth %</t>
        </is>
      </c>
      <c r="D4" s="3" t="inlineStr">
        <is>
          <t>Free Users</t>
        </is>
      </c>
      <c r="E4" s="3" t="inlineStr">
        <is>
          <t>Premium</t>
        </is>
      </c>
      <c r="F4" s="3" t="inlineStr">
        <is>
          <t>Pro</t>
        </is>
      </c>
      <c r="G4" s="3" t="inlineStr">
        <is>
          <t>Premium MRR</t>
        </is>
      </c>
      <c r="H4" s="3" t="inlineStr">
        <is>
          <t>Pro MRR</t>
        </is>
      </c>
      <c r="I4" s="3" t="inlineStr">
        <is>
          <t>Total MRR</t>
        </is>
      </c>
      <c r="J4" s="3" t="inlineStr">
        <is>
          <t>Premium Rev</t>
        </is>
      </c>
      <c r="K4" s="3" t="inlineStr">
        <is>
          <t>Pro Rev</t>
        </is>
      </c>
      <c r="L4" s="3" t="inlineStr">
        <is>
          <t>Total Rev</t>
        </is>
      </c>
    </row>
    <row r="5">
      <c r="A5" t="n">
        <v>1</v>
      </c>
      <c r="B5" t="n">
        <v>1000</v>
      </c>
      <c r="D5" t="n">
        <v>940</v>
      </c>
      <c r="E5" t="n">
        <v>50</v>
      </c>
      <c r="F5" t="n">
        <v>10</v>
      </c>
      <c r="G5" s="7">
        <f>E5*Assumptions!$B$26</f>
        <v/>
      </c>
      <c r="H5" s="7">
        <f>F5*Assumptions!$B$27</f>
        <v/>
      </c>
      <c r="I5" s="7">
        <f>G5+H5</f>
        <v/>
      </c>
    </row>
    <row r="6">
      <c r="A6" t="n">
        <v>2</v>
      </c>
      <c r="B6" t="n">
        <v>1150</v>
      </c>
      <c r="C6" s="8" t="n">
        <v>0.15</v>
      </c>
      <c r="D6" t="n">
        <v>1081</v>
      </c>
      <c r="E6" t="n">
        <v>58</v>
      </c>
      <c r="F6" t="n">
        <v>12</v>
      </c>
      <c r="G6" s="7">
        <f>E6*Assumptions!$B$26</f>
        <v/>
      </c>
      <c r="H6" s="7">
        <f>F6*Assumptions!$B$27</f>
        <v/>
      </c>
      <c r="I6" s="7">
        <f>G6+H6</f>
        <v/>
      </c>
    </row>
    <row r="7">
      <c r="A7" t="n">
        <v>3</v>
      </c>
      <c r="B7" t="n">
        <v>1323</v>
      </c>
      <c r="C7" s="8" t="n">
        <v>0.15</v>
      </c>
      <c r="D7" t="n">
        <v>1243</v>
      </c>
      <c r="E7" t="n">
        <v>66</v>
      </c>
      <c r="F7" t="n">
        <v>13</v>
      </c>
      <c r="G7" s="7">
        <f>E7*Assumptions!$B$26</f>
        <v/>
      </c>
      <c r="H7" s="7">
        <f>F7*Assumptions!$B$27</f>
        <v/>
      </c>
      <c r="I7" s="7">
        <f>G7+H7</f>
        <v/>
      </c>
    </row>
    <row r="8">
      <c r="A8" t="n">
        <v>4</v>
      </c>
      <c r="B8" t="n">
        <v>1521</v>
      </c>
      <c r="C8" s="8" t="n">
        <v>0.15</v>
      </c>
      <c r="D8" t="n">
        <v>1430</v>
      </c>
      <c r="E8" t="n">
        <v>76</v>
      </c>
      <c r="F8" t="n">
        <v>15</v>
      </c>
      <c r="G8" s="7">
        <f>E8*Assumptions!$B$26</f>
        <v/>
      </c>
      <c r="H8" s="7">
        <f>F8*Assumptions!$B$27</f>
        <v/>
      </c>
      <c r="I8" s="7">
        <f>G8+H8</f>
        <v/>
      </c>
    </row>
    <row r="9">
      <c r="A9" t="n">
        <v>5</v>
      </c>
      <c r="B9" t="n">
        <v>1749</v>
      </c>
      <c r="C9" s="8" t="n">
        <v>0.15</v>
      </c>
      <c r="D9" t="n">
        <v>1644</v>
      </c>
      <c r="E9" t="n">
        <v>87</v>
      </c>
      <c r="F9" t="n">
        <v>17</v>
      </c>
      <c r="G9" s="7">
        <f>E9*Assumptions!$B$26</f>
        <v/>
      </c>
      <c r="H9" s="7">
        <f>F9*Assumptions!$B$27</f>
        <v/>
      </c>
      <c r="I9" s="7">
        <f>G9+H9</f>
        <v/>
      </c>
    </row>
    <row r="10">
      <c r="A10" t="n">
        <v>6</v>
      </c>
      <c r="B10" t="n">
        <v>2012</v>
      </c>
      <c r="C10" s="8" t="n">
        <v>0.15</v>
      </c>
      <c r="D10" t="n">
        <v>1891</v>
      </c>
      <c r="E10" t="n">
        <v>101</v>
      </c>
      <c r="F10" t="n">
        <v>20</v>
      </c>
      <c r="G10" s="7">
        <f>E10*Assumptions!$B$26</f>
        <v/>
      </c>
      <c r="H10" s="7">
        <f>F10*Assumptions!$B$27</f>
        <v/>
      </c>
      <c r="I10" s="7">
        <f>G10+H10</f>
        <v/>
      </c>
    </row>
    <row r="11">
      <c r="A11" t="n">
        <v>7</v>
      </c>
      <c r="B11" t="n">
        <v>2313</v>
      </c>
      <c r="C11" s="8" t="n">
        <v>0.15</v>
      </c>
      <c r="D11" t="n">
        <v>2175</v>
      </c>
      <c r="E11" t="n">
        <v>116</v>
      </c>
      <c r="F11" t="n">
        <v>23</v>
      </c>
      <c r="G11" s="7">
        <f>E11*Assumptions!$B$26</f>
        <v/>
      </c>
      <c r="H11" s="7">
        <f>F11*Assumptions!$B$27</f>
        <v/>
      </c>
      <c r="I11" s="7">
        <f>G11+H11</f>
        <v/>
      </c>
    </row>
    <row r="12">
      <c r="A12" t="n">
        <v>8</v>
      </c>
      <c r="B12" t="n">
        <v>2660</v>
      </c>
      <c r="C12" s="8" t="n">
        <v>0.15</v>
      </c>
      <c r="D12" t="n">
        <v>2501</v>
      </c>
      <c r="E12" t="n">
        <v>133</v>
      </c>
      <c r="F12" t="n">
        <v>27</v>
      </c>
      <c r="G12" s="7">
        <f>E12*Assumptions!$B$26</f>
        <v/>
      </c>
      <c r="H12" s="7">
        <f>F12*Assumptions!$B$27</f>
        <v/>
      </c>
      <c r="I12" s="7">
        <f>G12+H12</f>
        <v/>
      </c>
    </row>
    <row r="13">
      <c r="A13" t="n">
        <v>9</v>
      </c>
      <c r="B13" t="n">
        <v>3059</v>
      </c>
      <c r="C13" s="8" t="n">
        <v>0.15</v>
      </c>
      <c r="D13" t="n">
        <v>2876</v>
      </c>
      <c r="E13" t="n">
        <v>153</v>
      </c>
      <c r="F13" t="n">
        <v>31</v>
      </c>
      <c r="G13" s="7">
        <f>E13*Assumptions!$B$26</f>
        <v/>
      </c>
      <c r="H13" s="7">
        <f>F13*Assumptions!$B$27</f>
        <v/>
      </c>
      <c r="I13" s="7">
        <f>G13+H13</f>
        <v/>
      </c>
    </row>
    <row r="14">
      <c r="A14" t="n">
        <v>10</v>
      </c>
      <c r="B14" t="n">
        <v>3518</v>
      </c>
      <c r="C14" s="8" t="n">
        <v>0.15</v>
      </c>
      <c r="D14" t="n">
        <v>3307</v>
      </c>
      <c r="E14" t="n">
        <v>176</v>
      </c>
      <c r="F14" t="n">
        <v>35</v>
      </c>
      <c r="G14" s="7">
        <f>E14*Assumptions!$B$26</f>
        <v/>
      </c>
      <c r="H14" s="7">
        <f>F14*Assumptions!$B$27</f>
        <v/>
      </c>
      <c r="I14" s="7">
        <f>G14+H14</f>
        <v/>
      </c>
    </row>
    <row r="15">
      <c r="A15" t="n">
        <v>11</v>
      </c>
      <c r="B15" t="n">
        <v>4046</v>
      </c>
      <c r="C15" s="8" t="n">
        <v>0.15</v>
      </c>
      <c r="D15" t="n">
        <v>3803</v>
      </c>
      <c r="E15" t="n">
        <v>202</v>
      </c>
      <c r="F15" t="n">
        <v>40</v>
      </c>
      <c r="G15" s="7">
        <f>E15*Assumptions!$B$26</f>
        <v/>
      </c>
      <c r="H15" s="7">
        <f>F15*Assumptions!$B$27</f>
        <v/>
      </c>
      <c r="I15" s="7">
        <f>G15+H15</f>
        <v/>
      </c>
    </row>
    <row r="16">
      <c r="A16" t="n">
        <v>12</v>
      </c>
      <c r="B16" t="n">
        <v>4653</v>
      </c>
      <c r="C16" s="8" t="n">
        <v>0.15</v>
      </c>
      <c r="D16" t="n">
        <v>4374</v>
      </c>
      <c r="E16" t="n">
        <v>233</v>
      </c>
      <c r="F16" t="n">
        <v>47</v>
      </c>
      <c r="G16" s="7">
        <f>E16*Assumptions!$B$26</f>
        <v/>
      </c>
      <c r="H16" s="7">
        <f>F16*Assumptions!$B$27</f>
        <v/>
      </c>
      <c r="I16" s="7">
        <f>G16+H16</f>
        <v/>
      </c>
    </row>
    <row r="18">
      <c r="A18" s="2" t="inlineStr">
        <is>
          <t>Year 1 Total Revenue</t>
        </is>
      </c>
      <c r="B18" s="7">
        <f>SUM(I5:I16)</f>
        <v/>
      </c>
    </row>
    <row r="21">
      <c r="A21" s="2" t="inlineStr">
        <is>
          <t>YEAR 2 - QUARTERLY PROJECTIONS</t>
        </is>
      </c>
    </row>
    <row r="22">
      <c r="A22" s="3" t="inlineStr">
        <is>
          <t>Quarter</t>
        </is>
      </c>
      <c r="B22" s="3" t="inlineStr">
        <is>
          <t>Total Users</t>
        </is>
      </c>
      <c r="C22" s="3" t="inlineStr">
        <is>
          <t>Free Users</t>
        </is>
      </c>
      <c r="D22" s="3" t="inlineStr">
        <is>
          <t>Premium</t>
        </is>
      </c>
      <c r="E22" s="3" t="inlineStr">
        <is>
          <t>Pro</t>
        </is>
      </c>
      <c r="F22" s="3" t="inlineStr">
        <is>
          <t>Premium MRR</t>
        </is>
      </c>
      <c r="G22" s="3" t="inlineStr">
        <is>
          <t>Pro MRR</t>
        </is>
      </c>
      <c r="H22" s="3" t="inlineStr">
        <is>
          <t>Total MRR</t>
        </is>
      </c>
    </row>
    <row r="23">
      <c r="A23" t="inlineStr">
        <is>
          <t>Q1</t>
        </is>
      </c>
      <c r="B23" t="n">
        <v>75000</v>
      </c>
      <c r="C23" t="n">
        <v>69000</v>
      </c>
      <c r="D23" t="n">
        <v>5250</v>
      </c>
      <c r="E23" t="n">
        <v>750</v>
      </c>
      <c r="F23" s="7">
        <f>D23*Assumptions!$B$26</f>
        <v/>
      </c>
      <c r="G23" s="7">
        <f>E23*Assumptions!$B$27</f>
        <v/>
      </c>
      <c r="H23" s="7">
        <f>F23+G23</f>
        <v/>
      </c>
    </row>
    <row r="24">
      <c r="A24" t="inlineStr">
        <is>
          <t>Q2</t>
        </is>
      </c>
      <c r="B24" t="n">
        <v>112500</v>
      </c>
      <c r="C24" t="n">
        <v>103500</v>
      </c>
      <c r="D24" t="n">
        <v>7875</v>
      </c>
      <c r="E24" t="n">
        <v>1125</v>
      </c>
      <c r="F24" s="7">
        <f>D24*Assumptions!$B$26</f>
        <v/>
      </c>
      <c r="G24" s="7">
        <f>E24*Assumptions!$B$27</f>
        <v/>
      </c>
      <c r="H24" s="7">
        <f>F24+G24</f>
        <v/>
      </c>
    </row>
    <row r="25">
      <c r="A25" t="inlineStr">
        <is>
          <t>Q3</t>
        </is>
      </c>
      <c r="B25" t="n">
        <v>150000</v>
      </c>
      <c r="C25" t="n">
        <v>138000</v>
      </c>
      <c r="D25" t="n">
        <v>10500</v>
      </c>
      <c r="E25" t="n">
        <v>1500</v>
      </c>
      <c r="F25" s="7">
        <f>D25*Assumptions!$B$26</f>
        <v/>
      </c>
      <c r="G25" s="7">
        <f>E25*Assumptions!$B$27</f>
        <v/>
      </c>
      <c r="H25" s="7">
        <f>F25+G25</f>
        <v/>
      </c>
    </row>
    <row r="26">
      <c r="A26" t="inlineStr">
        <is>
          <t>Q4</t>
        </is>
      </c>
      <c r="B26" t="n">
        <v>200000</v>
      </c>
      <c r="C26" t="n">
        <v>184000</v>
      </c>
      <c r="D26" t="n">
        <v>14000</v>
      </c>
      <c r="E26" t="n">
        <v>2000</v>
      </c>
      <c r="F26" s="7">
        <f>D26*Assumptions!$B$26</f>
        <v/>
      </c>
      <c r="G26" s="7">
        <f>E26*Assumptions!$B$27</f>
        <v/>
      </c>
      <c r="H26" s="7">
        <f>F26+G26</f>
        <v/>
      </c>
    </row>
    <row r="28">
      <c r="A28" s="2" t="inlineStr">
        <is>
          <t>YEAR 3 - QUARTERLY PROJECTIONS</t>
        </is>
      </c>
    </row>
    <row r="29">
      <c r="A29" s="3" t="inlineStr">
        <is>
          <t>Quarter</t>
        </is>
      </c>
      <c r="B29" s="3" t="inlineStr">
        <is>
          <t>Total Users</t>
        </is>
      </c>
      <c r="C29" s="3" t="inlineStr">
        <is>
          <t>Free Users</t>
        </is>
      </c>
      <c r="D29" s="3" t="inlineStr">
        <is>
          <t>Premium</t>
        </is>
      </c>
      <c r="E29" s="3" t="inlineStr">
        <is>
          <t>Pro</t>
        </is>
      </c>
      <c r="F29" s="3" t="inlineStr">
        <is>
          <t>Premium MRR</t>
        </is>
      </c>
      <c r="G29" s="3" t="inlineStr">
        <is>
          <t>Pro MRR</t>
        </is>
      </c>
      <c r="H29" s="3" t="inlineStr">
        <is>
          <t>Total MRR</t>
        </is>
      </c>
    </row>
    <row r="30">
      <c r="A30" t="inlineStr">
        <is>
          <t>Q1</t>
        </is>
      </c>
      <c r="B30" t="n">
        <v>260000</v>
      </c>
      <c r="C30" t="n">
        <v>237900</v>
      </c>
      <c r="D30" t="n">
        <v>19500</v>
      </c>
      <c r="E30" t="n">
        <v>2600</v>
      </c>
      <c r="F30" s="7">
        <f>D30*Assumptions!$B$26</f>
        <v/>
      </c>
      <c r="G30" s="7">
        <f>E30*Assumptions!$B$27</f>
        <v/>
      </c>
      <c r="H30" s="7">
        <f>F30+G30</f>
        <v/>
      </c>
    </row>
    <row r="31">
      <c r="A31" t="inlineStr">
        <is>
          <t>Q2</t>
        </is>
      </c>
      <c r="B31" t="n">
        <v>340000</v>
      </c>
      <c r="C31" t="n">
        <v>311100</v>
      </c>
      <c r="D31" t="n">
        <v>25500</v>
      </c>
      <c r="E31" t="n">
        <v>3400</v>
      </c>
      <c r="F31" s="7">
        <f>D31*Assumptions!$B$26</f>
        <v/>
      </c>
      <c r="G31" s="7">
        <f>E31*Assumptions!$B$27</f>
        <v/>
      </c>
      <c r="H31" s="7">
        <f>F31+G31</f>
        <v/>
      </c>
    </row>
    <row r="32">
      <c r="A32" t="inlineStr">
        <is>
          <t>Q3</t>
        </is>
      </c>
      <c r="B32" t="n">
        <v>450000</v>
      </c>
      <c r="C32" t="n">
        <v>411750</v>
      </c>
      <c r="D32" t="n">
        <v>33750</v>
      </c>
      <c r="E32" t="n">
        <v>4500</v>
      </c>
      <c r="F32" s="7">
        <f>D32*Assumptions!$B$26</f>
        <v/>
      </c>
      <c r="G32" s="7">
        <f>E32*Assumptions!$B$27</f>
        <v/>
      </c>
      <c r="H32" s="7">
        <f>F32+G32</f>
        <v/>
      </c>
    </row>
    <row r="33">
      <c r="A33" t="inlineStr">
        <is>
          <t>Q4</t>
        </is>
      </c>
      <c r="B33" t="n">
        <v>600000</v>
      </c>
      <c r="C33" t="n">
        <v>549000</v>
      </c>
      <c r="D33" t="n">
        <v>45000</v>
      </c>
      <c r="E33" t="n">
        <v>6000</v>
      </c>
      <c r="F33" s="7">
        <f>D33*Assumptions!$B$26</f>
        <v/>
      </c>
      <c r="G33" s="7">
        <f>E33*Assumptions!$B$27</f>
        <v/>
      </c>
      <c r="H33" s="7">
        <f>F33+G33</f>
        <v/>
      </c>
    </row>
    <row r="35">
      <c r="A35" s="2" t="inlineStr">
        <is>
          <t>ANNUAL REVENUE SUMMARY</t>
        </is>
      </c>
    </row>
    <row r="36">
      <c r="A36" s="3" t="inlineStr">
        <is>
          <t>Year</t>
        </is>
      </c>
      <c r="B36" s="3" t="inlineStr">
        <is>
          <t>Conservative</t>
        </is>
      </c>
      <c r="C36" s="3" t="inlineStr">
        <is>
          <t>Moderate</t>
        </is>
      </c>
      <c r="D36" s="3" t="inlineStr">
        <is>
          <t>Aggressive</t>
        </is>
      </c>
    </row>
    <row r="37">
      <c r="A37" t="inlineStr">
        <is>
          <t>Year 1</t>
        </is>
      </c>
      <c r="B37" s="6" t="n">
        <v>120000</v>
      </c>
      <c r="C37" s="6" t="n">
        <v>180000</v>
      </c>
      <c r="D37" s="6" t="n">
        <v>300000</v>
      </c>
    </row>
    <row r="38">
      <c r="A38" t="inlineStr">
        <is>
          <t>Year 2</t>
        </is>
      </c>
      <c r="B38" s="6" t="n">
        <v>800000</v>
      </c>
      <c r="C38" s="6" t="n">
        <v>1800000</v>
      </c>
      <c r="D38" s="6" t="n">
        <v>3500000</v>
      </c>
    </row>
    <row r="39">
      <c r="A39" t="inlineStr">
        <is>
          <t>Year 3</t>
        </is>
      </c>
      <c r="B39" s="6" t="n">
        <v>2500000</v>
      </c>
      <c r="C39" s="6" t="n">
        <v>6480000</v>
      </c>
      <c r="D39" s="6" t="n">
        <v>12000000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COST STRUCTURE</t>
        </is>
      </c>
    </row>
    <row r="3">
      <c r="A3" s="2" t="inlineStr">
        <is>
          <t>FIXED COSTS (MONTHLY)</t>
        </is>
      </c>
    </row>
    <row r="4">
      <c r="A4" s="3" t="inlineStr">
        <is>
          <t>Category</t>
        </is>
      </c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</row>
    <row r="5">
      <c r="A5" s="2" t="inlineStr">
        <is>
          <t>PERSONNEL</t>
        </is>
      </c>
    </row>
    <row r="6">
      <c r="A6" t="inlineStr">
        <is>
          <t>Engineering (FTEs) (1.5)</t>
        </is>
      </c>
      <c r="B6" s="6" t="n">
        <v>12500</v>
      </c>
      <c r="C6" s="6" t="n">
        <v>33333</v>
      </c>
      <c r="D6" s="6" t="n">
        <v>75000</v>
      </c>
    </row>
    <row r="7">
      <c r="A7" t="inlineStr">
        <is>
          <t>Marketing (FTEs) (0.5)</t>
        </is>
      </c>
      <c r="B7" s="6" t="n">
        <v>4167</v>
      </c>
      <c r="C7" s="6" t="n">
        <v>8333</v>
      </c>
      <c r="D7" s="6" t="n">
        <v>16667</v>
      </c>
    </row>
    <row r="8">
      <c r="A8" t="inlineStr">
        <is>
          <t>Operations (FTEs) (0)</t>
        </is>
      </c>
      <c r="B8" s="6" t="n">
        <v>0</v>
      </c>
      <c r="C8" s="6" t="n">
        <v>4167</v>
      </c>
      <c r="D8" s="6" t="n">
        <v>8333</v>
      </c>
    </row>
    <row r="9">
      <c r="A9" s="2" t="inlineStr">
        <is>
          <t>Subtotal Personnel</t>
        </is>
      </c>
      <c r="B9" s="7">
        <f>SUM(B6:B8)</f>
        <v/>
      </c>
      <c r="C9" s="7">
        <f>SUM(C6:C8)</f>
        <v/>
      </c>
      <c r="D9" s="7">
        <f>SUM(D6:D8)</f>
        <v/>
      </c>
    </row>
    <row r="11">
      <c r="A11" s="2" t="inlineStr">
        <is>
          <t>INFRASTRUCTURE</t>
        </is>
      </c>
    </row>
    <row r="12">
      <c r="A12" t="inlineStr">
        <is>
          <t>Hosting (Netlify/AWS)</t>
        </is>
      </c>
      <c r="B12" s="6" t="n">
        <v>200</v>
      </c>
      <c r="C12" s="6" t="n">
        <v>800</v>
      </c>
      <c r="D12" s="6" t="n">
        <v>2500</v>
      </c>
    </row>
    <row r="13">
      <c r="A13" t="inlineStr">
        <is>
          <t>CDN &amp; Storage</t>
        </is>
      </c>
      <c r="B13" s="6" t="n">
        <v>100</v>
      </c>
      <c r="C13" s="6" t="n">
        <v>400</v>
      </c>
      <c r="D13" s="6" t="n">
        <v>1000</v>
      </c>
    </row>
    <row r="14">
      <c r="A14" t="inlineStr">
        <is>
          <t>Dev Tools &amp; Services</t>
        </is>
      </c>
      <c r="B14" s="6" t="n">
        <v>200</v>
      </c>
      <c r="C14" s="6" t="n">
        <v>400</v>
      </c>
      <c r="D14" s="6" t="n">
        <v>800</v>
      </c>
    </row>
    <row r="15">
      <c r="A15" s="2" t="inlineStr">
        <is>
          <t>Subtotal Infrastructure</t>
        </is>
      </c>
      <c r="B15" s="7">
        <f>SUM(B12:B14)</f>
        <v/>
      </c>
      <c r="C15" s="7">
        <f>SUM(C12:C14)</f>
        <v/>
      </c>
      <c r="D15" s="7">
        <f>SUM(D12:D14)</f>
        <v/>
      </c>
    </row>
    <row r="17">
      <c r="A17" s="2" t="inlineStr">
        <is>
          <t>OPERATIONS</t>
        </is>
      </c>
    </row>
    <row r="18">
      <c r="A18" t="inlineStr">
        <is>
          <t>Legal &amp; Compliance</t>
        </is>
      </c>
      <c r="B18" s="6" t="n">
        <v>500</v>
      </c>
      <c r="C18" s="6" t="n">
        <v>1000</v>
      </c>
      <c r="D18" s="6" t="n">
        <v>2000</v>
      </c>
    </row>
    <row r="19">
      <c r="A19" t="inlineStr">
        <is>
          <t>Accounting</t>
        </is>
      </c>
      <c r="B19" s="6" t="n">
        <v>300</v>
      </c>
      <c r="C19" s="6" t="n">
        <v>600</v>
      </c>
      <c r="D19" s="6" t="n">
        <v>1200</v>
      </c>
    </row>
    <row r="20">
      <c r="A20" t="inlineStr">
        <is>
          <t>Insurance</t>
        </is>
      </c>
      <c r="B20" s="6" t="n">
        <v>200</v>
      </c>
      <c r="C20" s="6" t="n">
        <v>400</v>
      </c>
      <c r="D20" s="6" t="n">
        <v>800</v>
      </c>
    </row>
    <row r="21">
      <c r="A21" t="inlineStr">
        <is>
          <t>Office/Misc</t>
        </is>
      </c>
      <c r="B21" s="6" t="n">
        <v>200</v>
      </c>
      <c r="C21" s="6" t="n">
        <v>400</v>
      </c>
      <c r="D21" s="6" t="n">
        <v>1000</v>
      </c>
    </row>
    <row r="22">
      <c r="A22" s="2" t="inlineStr">
        <is>
          <t>Subtotal Operations</t>
        </is>
      </c>
      <c r="B22" s="7">
        <f>SUM(B18:B21)</f>
        <v/>
      </c>
      <c r="C22" s="7">
        <f>SUM(C18:C21)</f>
        <v/>
      </c>
      <c r="D22" s="7">
        <f>SUM(D18:D21)</f>
        <v/>
      </c>
    </row>
    <row r="24">
      <c r="A24" s="9" t="inlineStr">
        <is>
          <t>TOTAL FIXED COSTS</t>
        </is>
      </c>
      <c r="B24" s="10">
        <f>B9+B15+B22</f>
        <v/>
      </c>
      <c r="C24" s="10">
        <f>C9+C15+C22</f>
        <v/>
      </c>
      <c r="D24" s="10">
        <f>D9+D15+D22</f>
        <v/>
      </c>
    </row>
    <row r="27">
      <c r="A27" s="2" t="inlineStr">
        <is>
          <t>VARIABLE COSTS</t>
        </is>
      </c>
    </row>
    <row r="28">
      <c r="A28" t="inlineStr">
        <is>
          <t>API Costs</t>
        </is>
      </c>
      <c r="B28" s="6" t="n">
        <v>2500</v>
      </c>
      <c r="C28" s="6" t="n">
        <v>8000</v>
      </c>
      <c r="D28" s="6" t="n">
        <v>18000</v>
      </c>
    </row>
    <row r="29">
      <c r="A29" t="inlineStr">
        <is>
          <t>Payment Processing (2.9%)</t>
        </is>
      </c>
      <c r="B29" s="6" t="n">
        <v>500</v>
      </c>
      <c r="C29" s="6" t="n">
        <v>5500</v>
      </c>
      <c r="D29" s="6" t="n">
        <v>19000</v>
      </c>
    </row>
    <row r="30">
      <c r="A30" t="inlineStr">
        <is>
          <t>Customer Support</t>
        </is>
      </c>
      <c r="B30" s="6" t="n">
        <v>1000</v>
      </c>
      <c r="C30" s="6" t="n">
        <v>4000</v>
      </c>
      <c r="D30" s="6" t="n">
        <v>12000</v>
      </c>
    </row>
    <row r="31">
      <c r="A31" t="inlineStr">
        <is>
          <t>Marketing Spend</t>
        </is>
      </c>
      <c r="B31" s="6" t="n">
        <v>8333</v>
      </c>
      <c r="C31" s="6" t="n">
        <v>25000</v>
      </c>
      <c r="D31" s="6" t="n">
        <v>50000</v>
      </c>
    </row>
    <row r="32">
      <c r="A32" s="9" t="inlineStr">
        <is>
          <t>TOTAL VARIABLE COSTS</t>
        </is>
      </c>
      <c r="B32" s="10">
        <f>SUM(B28:B31)</f>
        <v/>
      </c>
      <c r="C32" s="10">
        <f>SUM(C28:C31)</f>
        <v/>
      </c>
      <c r="D32" s="10">
        <f>SUM(D28:D31)</f>
        <v/>
      </c>
    </row>
    <row r="35">
      <c r="A35" s="11" t="inlineStr">
        <is>
          <t>TOTAL MONTHLY COSTS</t>
        </is>
      </c>
      <c r="B35" s="12">
        <f>B24+B32</f>
        <v/>
      </c>
      <c r="C35" s="12">
        <f>C24+C32</f>
        <v/>
      </c>
      <c r="D35" s="12">
        <f>D24+D32</f>
        <v/>
      </c>
    </row>
    <row r="37">
      <c r="A37" s="11" t="inlineStr">
        <is>
          <t>ANNUAL COSTS</t>
        </is>
      </c>
      <c r="B37" s="12">
        <f>B35*12</f>
        <v/>
      </c>
      <c r="C37" s="12">
        <f>C35*12</f>
        <v/>
      </c>
      <c r="D37" s="12">
        <f>D35*12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1" t="inlineStr">
        <is>
          <t>P&amp;L PROJECTION - MODERATE SCENARIO</t>
        </is>
      </c>
    </row>
    <row r="3">
      <c r="A3" s="2" t="inlineStr">
        <is>
          <t>YEAR 1</t>
        </is>
      </c>
    </row>
    <row r="4">
      <c r="A4" s="3" t="inlineStr">
        <is>
          <t>Line Item</t>
        </is>
      </c>
      <c r="B4" s="3" t="inlineStr">
        <is>
          <t>Q1</t>
        </is>
      </c>
      <c r="C4" s="3" t="inlineStr">
        <is>
          <t>Q2</t>
        </is>
      </c>
      <c r="D4" s="3" t="inlineStr">
        <is>
          <t>Q3</t>
        </is>
      </c>
      <c r="E4" s="3" t="inlineStr">
        <is>
          <t>Q4</t>
        </is>
      </c>
      <c r="F4" s="3" t="inlineStr">
        <is>
          <t>Year 1 Total</t>
        </is>
      </c>
    </row>
    <row r="5">
      <c r="A5" s="2" t="inlineStr">
        <is>
          <t>REVENUE</t>
        </is>
      </c>
    </row>
    <row r="6">
      <c r="A6" t="inlineStr">
        <is>
          <t>Premium Revenue</t>
        </is>
      </c>
      <c r="B6" s="6" t="n">
        <v>5000</v>
      </c>
      <c r="C6" s="6" t="n">
        <v>15000</v>
      </c>
      <c r="D6" s="6" t="n">
        <v>35000</v>
      </c>
      <c r="E6" s="6" t="n">
        <v>65000</v>
      </c>
    </row>
    <row r="7">
      <c r="A7" t="inlineStr">
        <is>
          <t>Pro Revenue</t>
        </is>
      </c>
      <c r="B7" s="6" t="n">
        <v>2000</v>
      </c>
      <c r="C7" s="6" t="n">
        <v>6000</v>
      </c>
      <c r="D7" s="6" t="n">
        <v>14000</v>
      </c>
      <c r="E7" s="6" t="n">
        <v>38000</v>
      </c>
    </row>
    <row r="8">
      <c r="A8" s="2" t="inlineStr">
        <is>
          <t>Total Revenue</t>
        </is>
      </c>
      <c r="B8" s="7">
        <f>B6+B7</f>
        <v/>
      </c>
      <c r="C8" s="7">
        <f>C6+C7</f>
        <v/>
      </c>
      <c r="D8" s="7">
        <f>D6+D7</f>
        <v/>
      </c>
      <c r="E8" s="7">
        <f>E6+E7</f>
        <v/>
      </c>
      <c r="F8" s="7">
        <f>SUM(B8:E8)</f>
        <v/>
      </c>
    </row>
    <row r="9">
      <c r="A9" t="inlineStr"/>
    </row>
    <row r="10">
      <c r="A10" s="2" t="inlineStr">
        <is>
          <t>COGS</t>
        </is>
      </c>
    </row>
    <row r="11">
      <c r="A11" t="inlineStr">
        <is>
          <t>API Costs</t>
        </is>
      </c>
      <c r="B11" s="6" t="n">
        <v>1500</v>
      </c>
      <c r="C11" s="6" t="n">
        <v>3000</v>
      </c>
      <c r="D11" s="6" t="n">
        <v>5000</v>
      </c>
      <c r="E11" s="6" t="n">
        <v>8000</v>
      </c>
    </row>
    <row r="12">
      <c r="A12" t="inlineStr">
        <is>
          <t>Payment Processing</t>
        </is>
      </c>
      <c r="B12" s="6" t="n">
        <v>300</v>
      </c>
      <c r="C12" s="6" t="n">
        <v>800</v>
      </c>
      <c r="D12" s="6" t="n">
        <v>1800</v>
      </c>
      <c r="E12" s="6" t="n">
        <v>3500</v>
      </c>
    </row>
    <row r="13">
      <c r="A13" t="inlineStr">
        <is>
          <t>Support</t>
        </is>
      </c>
      <c r="B13" s="6" t="n">
        <v>500</v>
      </c>
      <c r="C13" s="6" t="n">
        <v>1500</v>
      </c>
      <c r="D13" s="6" t="n">
        <v>3000</v>
      </c>
      <c r="E13" s="6" t="n">
        <v>5000</v>
      </c>
    </row>
    <row r="14">
      <c r="A14" s="2" t="inlineStr">
        <is>
          <t>Total COGS</t>
        </is>
      </c>
      <c r="B14" s="7">
        <f>SUM(B11:B13)</f>
        <v/>
      </c>
      <c r="C14" s="7">
        <f>SUM(C11:C13)</f>
        <v/>
      </c>
      <c r="D14" s="7">
        <f>SUM(D11:D13)</f>
        <v/>
      </c>
      <c r="E14" s="7">
        <f>SUM(E11:E13)</f>
        <v/>
      </c>
      <c r="F14" s="7">
        <f>SUM(B14:E14)</f>
        <v/>
      </c>
    </row>
    <row r="15">
      <c r="A15" t="inlineStr"/>
    </row>
    <row r="16">
      <c r="A16" s="2" t="inlineStr">
        <is>
          <t>Gross Profit</t>
        </is>
      </c>
      <c r="B16" s="7">
        <f>B8-B14</f>
        <v/>
      </c>
      <c r="C16" s="7">
        <f>C8-C14</f>
        <v/>
      </c>
      <c r="D16" s="7">
        <f>D8-D14</f>
        <v/>
      </c>
      <c r="E16" s="7">
        <f>E8-E14</f>
        <v/>
      </c>
      <c r="F16" s="7">
        <f>F8-F14</f>
        <v/>
      </c>
    </row>
    <row r="17">
      <c r="A17" s="2" t="inlineStr">
        <is>
          <t>Gross Margin %</t>
        </is>
      </c>
      <c r="B17" s="13">
        <f>B16/B8</f>
        <v/>
      </c>
      <c r="C17" s="13">
        <f>C16/C8</f>
        <v/>
      </c>
      <c r="D17" s="13">
        <f>D16/D8</f>
        <v/>
      </c>
      <c r="E17" s="13">
        <f>E16/E8</f>
        <v/>
      </c>
      <c r="F17" s="13">
        <f>F16/F8</f>
        <v/>
      </c>
    </row>
    <row r="18">
      <c r="A18" t="inlineStr"/>
    </row>
    <row r="19">
      <c r="A19" s="2" t="inlineStr">
        <is>
          <t>OPERATING EXPENSES</t>
        </is>
      </c>
    </row>
    <row r="20">
      <c r="A20" t="inlineStr">
        <is>
          <t>Personnel</t>
        </is>
      </c>
      <c r="B20" s="6" t="n">
        <v>50000</v>
      </c>
      <c r="C20" s="6" t="n">
        <v>50000</v>
      </c>
      <c r="D20" s="6" t="n">
        <v>50000</v>
      </c>
      <c r="E20" s="6" t="n">
        <v>50000</v>
      </c>
    </row>
    <row r="21">
      <c r="A21" t="inlineStr">
        <is>
          <t>Infrastructure</t>
        </is>
      </c>
      <c r="B21" s="6" t="n">
        <v>1500</v>
      </c>
      <c r="C21" s="6" t="n">
        <v>1500</v>
      </c>
      <c r="D21" s="6" t="n">
        <v>1500</v>
      </c>
      <c r="E21" s="6" t="n">
        <v>1500</v>
      </c>
    </row>
    <row r="22">
      <c r="A22" t="inlineStr">
        <is>
          <t>Marketing</t>
        </is>
      </c>
      <c r="B22" s="6" t="n">
        <v>25000</v>
      </c>
      <c r="C22" s="6" t="n">
        <v>25000</v>
      </c>
      <c r="D22" s="6" t="n">
        <v>25000</v>
      </c>
      <c r="E22" s="6" t="n">
        <v>25000</v>
      </c>
    </row>
    <row r="23">
      <c r="A23" t="inlineStr">
        <is>
          <t>Operations</t>
        </is>
      </c>
      <c r="B23" s="6" t="n">
        <v>3600</v>
      </c>
      <c r="C23" s="6" t="n">
        <v>3600</v>
      </c>
      <c r="D23" s="6" t="n">
        <v>3600</v>
      </c>
      <c r="E23" s="6" t="n">
        <v>3600</v>
      </c>
    </row>
    <row r="24">
      <c r="A24" s="2" t="inlineStr">
        <is>
          <t>Total OpEx</t>
        </is>
      </c>
      <c r="B24" s="7">
        <f>SUM(B20:B23)</f>
        <v/>
      </c>
      <c r="C24" s="7">
        <f>SUM(C20:C23)</f>
        <v/>
      </c>
      <c r="D24" s="7">
        <f>SUM(D20:D23)</f>
        <v/>
      </c>
      <c r="E24" s="7">
        <f>SUM(E20:E23)</f>
        <v/>
      </c>
      <c r="F24" s="7">
        <f>SUM(B24:E24)</f>
        <v/>
      </c>
    </row>
    <row r="25">
      <c r="A25" t="inlineStr"/>
    </row>
    <row r="26">
      <c r="A26" s="14" t="inlineStr">
        <is>
          <t>EBITDA</t>
        </is>
      </c>
      <c r="B26" s="15">
        <f>B16-B24</f>
        <v/>
      </c>
      <c r="C26" s="15">
        <f>C16-C24</f>
        <v/>
      </c>
      <c r="D26" s="15">
        <f>D16-D24</f>
        <v/>
      </c>
      <c r="E26" s="15">
        <f>E16-E24</f>
        <v/>
      </c>
      <c r="F26" s="15">
        <f>F16-F24</f>
        <v/>
      </c>
    </row>
    <row r="27">
      <c r="A27" s="2" t="inlineStr">
        <is>
          <t>EBITDA Margin %</t>
        </is>
      </c>
      <c r="B27" s="13">
        <f>B26/B8</f>
        <v/>
      </c>
      <c r="C27" s="13">
        <f>C26/C8</f>
        <v/>
      </c>
      <c r="D27" s="13">
        <f>D26/D8</f>
        <v/>
      </c>
      <c r="E27" s="13">
        <f>E26/E8</f>
        <v/>
      </c>
      <c r="F27" s="13">
        <f>F26/F8</f>
        <v/>
      </c>
    </row>
    <row r="30">
      <c r="A30" s="2" t="inlineStr">
        <is>
          <t>YEAR 2</t>
        </is>
      </c>
    </row>
    <row r="31">
      <c r="A31" s="3" t="inlineStr">
        <is>
          <t>Line Item</t>
        </is>
      </c>
      <c r="B31" s="3" t="inlineStr">
        <is>
          <t>Q1</t>
        </is>
      </c>
      <c r="C31" s="3" t="inlineStr">
        <is>
          <t>Q2</t>
        </is>
      </c>
      <c r="D31" s="3" t="inlineStr">
        <is>
          <t>Q3</t>
        </is>
      </c>
      <c r="E31" s="3" t="inlineStr">
        <is>
          <t>Q4</t>
        </is>
      </c>
      <c r="F31" s="3" t="inlineStr">
        <is>
          <t>Year 1 Total</t>
        </is>
      </c>
    </row>
    <row r="32">
      <c r="A32" s="2" t="inlineStr">
        <is>
          <t>REVENUE</t>
        </is>
      </c>
    </row>
    <row r="33">
      <c r="A33" t="inlineStr">
        <is>
          <t>Premium Revenue</t>
        </is>
      </c>
      <c r="B33" s="6" t="n">
        <v>150000</v>
      </c>
      <c r="C33" s="6" t="n">
        <v>250000</v>
      </c>
      <c r="D33" s="6" t="n">
        <v>380000</v>
      </c>
      <c r="E33" s="6" t="n">
        <v>540000</v>
      </c>
    </row>
    <row r="34">
      <c r="A34" t="inlineStr">
        <is>
          <t>Pro Revenue</t>
        </is>
      </c>
      <c r="B34" s="6" t="n">
        <v>45000</v>
      </c>
      <c r="C34" s="6" t="n">
        <v>75000</v>
      </c>
      <c r="D34" s="6" t="n">
        <v>115000</v>
      </c>
      <c r="E34" s="6" t="n">
        <v>165000</v>
      </c>
    </row>
    <row r="35">
      <c r="A35" s="2" t="inlineStr">
        <is>
          <t>Total Revenue</t>
        </is>
      </c>
      <c r="B35" s="7">
        <f>B33+B34</f>
        <v/>
      </c>
      <c r="C35" s="7">
        <f>C33+C34</f>
        <v/>
      </c>
      <c r="D35" s="7">
        <f>D33+D34</f>
        <v/>
      </c>
      <c r="E35" s="7">
        <f>E33+E34</f>
        <v/>
      </c>
      <c r="F35" s="7">
        <f>SUM(B35:E35)</f>
        <v/>
      </c>
    </row>
    <row r="37">
      <c r="A37" s="2" t="inlineStr">
        <is>
          <t>COGS (15%)</t>
        </is>
      </c>
      <c r="B37" s="7">
        <f>B35*0.15</f>
        <v/>
      </c>
      <c r="C37" s="7">
        <f>C35*0.15</f>
        <v/>
      </c>
      <c r="D37" s="7">
        <f>D35*0.15</f>
        <v/>
      </c>
      <c r="E37" s="7">
        <f>E35*0.15</f>
        <v/>
      </c>
      <c r="F37" s="7">
        <f>SUM(B37:E37)</f>
        <v/>
      </c>
    </row>
    <row r="38">
      <c r="A38" s="2" t="inlineStr">
        <is>
          <t>Gross Profit</t>
        </is>
      </c>
      <c r="B38" s="7">
        <f>B35-B37</f>
        <v/>
      </c>
      <c r="C38" s="7">
        <f>C35-C37</f>
        <v/>
      </c>
      <c r="D38" s="7">
        <f>D35-D37</f>
        <v/>
      </c>
      <c r="E38" s="7">
        <f>E35-E37</f>
        <v/>
      </c>
      <c r="F38" s="7">
        <f>F35-F37</f>
        <v/>
      </c>
    </row>
    <row r="39">
      <c r="A39" s="2" t="inlineStr">
        <is>
          <t>Gross Margin %</t>
        </is>
      </c>
      <c r="B39" s="13">
        <f>B38/B35</f>
        <v/>
      </c>
      <c r="C39" s="13">
        <f>C38/C35</f>
        <v/>
      </c>
      <c r="D39" s="13">
        <f>D38/D35</f>
        <v/>
      </c>
      <c r="E39" s="13">
        <f>E38/E35</f>
        <v/>
      </c>
      <c r="F39" s="13">
        <f>F38/F35</f>
        <v/>
      </c>
    </row>
    <row r="41">
      <c r="A41" s="2" t="inlineStr">
        <is>
          <t>Operating Expenses</t>
        </is>
      </c>
      <c r="B41" s="6" t="n">
        <v>200000</v>
      </c>
      <c r="C41" s="6" t="n">
        <v>225000</v>
      </c>
      <c r="D41" s="6" t="n">
        <v>250000</v>
      </c>
      <c r="E41" s="6" t="n">
        <v>275000</v>
      </c>
      <c r="F41" s="7">
        <f>SUM(B41:E41)</f>
        <v/>
      </c>
    </row>
    <row r="43">
      <c r="A43" s="14" t="inlineStr">
        <is>
          <t>EBITDA</t>
        </is>
      </c>
      <c r="B43" s="15">
        <f>B38-B41</f>
        <v/>
      </c>
      <c r="C43" s="15">
        <f>C38-C41</f>
        <v/>
      </c>
      <c r="D43" s="15">
        <f>D38-D41</f>
        <v/>
      </c>
      <c r="E43" s="15">
        <f>E38-E41</f>
        <v/>
      </c>
      <c r="F43" s="15">
        <f>F38-F41</f>
        <v/>
      </c>
    </row>
    <row r="44">
      <c r="A44" s="2" t="inlineStr">
        <is>
          <t>EBITDA Margin %</t>
        </is>
      </c>
      <c r="B44" s="13">
        <f>B43/B35</f>
        <v/>
      </c>
      <c r="C44" s="13">
        <f>C43/C35</f>
        <v/>
      </c>
      <c r="D44" s="13">
        <f>D43/D35</f>
        <v/>
      </c>
      <c r="E44" s="13">
        <f>E43/E35</f>
        <v/>
      </c>
      <c r="F44" s="13">
        <f>F43/F35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BREAK-EVEN ANALYSIS</t>
        </is>
      </c>
    </row>
    <row r="3">
      <c r="A3" s="2" t="inlineStr">
        <is>
          <t>SCENARIO COMPARISON</t>
        </is>
      </c>
    </row>
    <row r="4">
      <c r="A4" s="3" t="inlineStr">
        <is>
          <t>Scenario</t>
        </is>
      </c>
      <c r="B4" s="3" t="inlineStr">
        <is>
          <t>Monthly Fixed Costs</t>
        </is>
      </c>
      <c r="C4" s="3" t="inlineStr">
        <is>
          <t>Avg Revenue/User</t>
        </is>
      </c>
      <c r="D4" s="3" t="inlineStr">
        <is>
          <t>Users to Break-even</t>
        </is>
      </c>
      <c r="E4" s="3" t="inlineStr">
        <is>
          <t>Timeline</t>
        </is>
      </c>
    </row>
    <row r="5">
      <c r="A5" t="inlineStr">
        <is>
          <t>Conservative</t>
        </is>
      </c>
      <c r="B5" s="6" t="n">
        <v>25000</v>
      </c>
      <c r="C5" s="6" t="n">
        <v>11</v>
      </c>
      <c r="D5" t="n">
        <v>2273</v>
      </c>
      <c r="E5" t="inlineStr">
        <is>
          <t>Month 22</t>
        </is>
      </c>
    </row>
    <row r="6">
      <c r="A6" t="inlineStr">
        <is>
          <t>Moderate</t>
        </is>
      </c>
      <c r="B6" s="6" t="n">
        <v>30000</v>
      </c>
      <c r="C6" s="6" t="n">
        <v>12</v>
      </c>
      <c r="D6" t="n">
        <v>2500</v>
      </c>
      <c r="E6" t="inlineStr">
        <is>
          <t>Month 16</t>
        </is>
      </c>
    </row>
    <row r="7">
      <c r="A7" t="inlineStr">
        <is>
          <t>Aggressive</t>
        </is>
      </c>
      <c r="B7" s="6" t="n">
        <v>35000</v>
      </c>
      <c r="C7" s="6" t="n">
        <v>13</v>
      </c>
      <c r="D7" t="n">
        <v>2692</v>
      </c>
      <c r="E7" t="inlineStr">
        <is>
          <t>Month 12</t>
        </is>
      </c>
    </row>
    <row r="10">
      <c r="A10" s="2" t="inlineStr">
        <is>
          <t>MONTHLY BREAK-EVEN TRAJECTORY</t>
        </is>
      </c>
    </row>
    <row r="11">
      <c r="A11" s="3" t="inlineStr">
        <is>
          <t>Month</t>
        </is>
      </c>
      <c r="B11" s="3" t="inlineStr">
        <is>
          <t>Revenue</t>
        </is>
      </c>
      <c r="C11" s="3" t="inlineStr">
        <is>
          <t>Costs</t>
        </is>
      </c>
      <c r="D11" s="3" t="inlineStr">
        <is>
          <t>Cumulative P/L</t>
        </is>
      </c>
      <c r="E11" s="3" t="inlineStr">
        <is>
          <t>Status</t>
        </is>
      </c>
    </row>
    <row r="12">
      <c r="A12" t="n">
        <v>6</v>
      </c>
      <c r="B12" s="6" t="n">
        <v>8000</v>
      </c>
      <c r="C12" s="6" t="n">
        <v>28000</v>
      </c>
      <c r="D12" s="16" t="n">
        <v>-120000</v>
      </c>
      <c r="E12" t="inlineStr">
        <is>
          <t>Below</t>
        </is>
      </c>
    </row>
    <row r="13">
      <c r="A13" t="n">
        <v>12</v>
      </c>
      <c r="B13" s="6" t="n">
        <v>25000</v>
      </c>
      <c r="C13" s="6" t="n">
        <v>32000</v>
      </c>
      <c r="D13" s="16" t="n">
        <v>-200000</v>
      </c>
      <c r="E13" t="inlineStr">
        <is>
          <t>Below</t>
        </is>
      </c>
    </row>
    <row r="14">
      <c r="A14" t="n">
        <v>16</v>
      </c>
      <c r="B14" s="6" t="n">
        <v>50000</v>
      </c>
      <c r="C14" s="6" t="n">
        <v>45000</v>
      </c>
      <c r="D14" s="16" t="n">
        <v>-180000</v>
      </c>
      <c r="E14" t="inlineStr">
        <is>
          <t>Break-even</t>
        </is>
      </c>
    </row>
    <row r="15">
      <c r="A15" t="n">
        <v>18</v>
      </c>
      <c r="B15" s="6" t="n">
        <v>70000</v>
      </c>
      <c r="C15" s="6" t="n">
        <v>55000</v>
      </c>
      <c r="D15" s="16" t="n">
        <v>-150000</v>
      </c>
      <c r="E15" t="inlineStr">
        <is>
          <t>Above</t>
        </is>
      </c>
    </row>
    <row r="16">
      <c r="A16" t="n">
        <v>24</v>
      </c>
      <c r="B16" s="6" t="n">
        <v>150000</v>
      </c>
      <c r="C16" s="6" t="n">
        <v>90000</v>
      </c>
      <c r="D16" s="16" t="n">
        <v>100000</v>
      </c>
      <c r="E16" t="inlineStr">
        <is>
          <t>Profitable</t>
        </is>
      </c>
    </row>
    <row r="19">
      <c r="A19" s="2" t="inlineStr">
        <is>
          <t>CASH FLOW TO BREAK-EVEN</t>
        </is>
      </c>
    </row>
    <row r="20">
      <c r="A20" s="3" t="inlineStr">
        <is>
          <t>Period</t>
        </is>
      </c>
      <c r="B20" s="3" t="inlineStr">
        <is>
          <t>Revenue</t>
        </is>
      </c>
      <c r="C20" s="3" t="inlineStr">
        <is>
          <t>Expenses</t>
        </is>
      </c>
      <c r="D20" s="3" t="inlineStr">
        <is>
          <t>Net Cash</t>
        </is>
      </c>
      <c r="E20" s="3" t="inlineStr">
        <is>
          <t>Cumulative</t>
        </is>
      </c>
    </row>
    <row r="21">
      <c r="A21" t="inlineStr">
        <is>
          <t>Months 1-6</t>
        </is>
      </c>
      <c r="B21" s="6" t="n">
        <v>45000</v>
      </c>
      <c r="C21" s="6" t="n">
        <v>175000</v>
      </c>
      <c r="D21" s="16" t="n">
        <v>-130000</v>
      </c>
      <c r="E21" s="16" t="n">
        <v>-130000</v>
      </c>
    </row>
    <row r="22">
      <c r="A22" t="inlineStr">
        <is>
          <t>Months 7-12</t>
        </is>
      </c>
      <c r="B22" s="6" t="n">
        <v>135000</v>
      </c>
      <c r="C22" s="6" t="n">
        <v>195000</v>
      </c>
      <c r="D22" s="16" t="n">
        <v>-60000</v>
      </c>
      <c r="E22" s="16" t="n">
        <v>-190000</v>
      </c>
    </row>
    <row r="23">
      <c r="A23" t="inlineStr">
        <is>
          <t>Months 13-16</t>
        </is>
      </c>
      <c r="B23" s="6" t="n">
        <v>180000</v>
      </c>
      <c r="C23" s="6" t="n">
        <v>180000</v>
      </c>
      <c r="D23" s="16" t="n">
        <v>0</v>
      </c>
      <c r="E23" s="16" t="n">
        <v>-190000</v>
      </c>
    </row>
    <row r="24">
      <c r="A24" t="inlineStr">
        <is>
          <t>Months 17-24</t>
        </is>
      </c>
      <c r="B24" s="6" t="n">
        <v>600000</v>
      </c>
      <c r="C24" s="6" t="n">
        <v>480000</v>
      </c>
      <c r="D24" s="16" t="n">
        <v>120000</v>
      </c>
      <c r="E24" s="16" t="n">
        <v>-70000</v>
      </c>
    </row>
    <row r="25">
      <c r="A25" t="inlineStr">
        <is>
          <t>Months 25-36</t>
        </is>
      </c>
      <c r="B25" s="6" t="n">
        <v>4500000</v>
      </c>
      <c r="C25" s="6" t="n">
        <v>2150000</v>
      </c>
      <c r="D25" s="16" t="n">
        <v>2350000</v>
      </c>
      <c r="E25" s="16" t="n">
        <v>2280000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SENSITIVITY ANALYSIS</t>
        </is>
      </c>
    </row>
    <row r="3">
      <c r="A3" s="2" t="inlineStr">
        <is>
          <t>CONVERSION RATE IMPACT (Y3 Revenue)</t>
        </is>
      </c>
    </row>
    <row r="4">
      <c r="A4" s="3" t="inlineStr">
        <is>
          <t>Premium Conversion</t>
        </is>
      </c>
      <c r="B4" s="3" t="inlineStr">
        <is>
          <t>4%</t>
        </is>
      </c>
      <c r="C4" s="3" t="inlineStr">
        <is>
          <t>5%</t>
        </is>
      </c>
      <c r="D4" s="3" t="inlineStr">
        <is>
          <t>6%</t>
        </is>
      </c>
      <c r="E4" s="3" t="inlineStr">
        <is>
          <t>7%</t>
        </is>
      </c>
      <c r="F4" s="3" t="inlineStr">
        <is>
          <t>8%</t>
        </is>
      </c>
    </row>
    <row r="5">
      <c r="A5" t="inlineStr">
        <is>
          <t>Revenue</t>
        </is>
      </c>
      <c r="B5" s="6" t="n">
        <v>4200000</v>
      </c>
      <c r="C5" s="6" t="n">
        <v>5200000</v>
      </c>
      <c r="D5" s="6" t="n">
        <v>6100000</v>
      </c>
      <c r="E5" s="6" t="n">
        <v>7100000</v>
      </c>
      <c r="F5" s="6" t="n">
        <v>8000000</v>
      </c>
    </row>
    <row r="6">
      <c r="A6" t="inlineStr">
        <is>
          <t>Change from Baseline</t>
        </is>
      </c>
      <c r="B6" t="inlineStr">
        <is>
          <t>-31%</t>
        </is>
      </c>
      <c r="C6" t="inlineStr">
        <is>
          <t>-15%</t>
        </is>
      </c>
      <c r="D6" t="inlineStr">
        <is>
          <t>Baseline</t>
        </is>
      </c>
      <c r="E6" t="inlineStr">
        <is>
          <t>+16%</t>
        </is>
      </c>
      <c r="F6" t="inlineStr">
        <is>
          <t>+31%</t>
        </is>
      </c>
    </row>
    <row r="9">
      <c r="A9" s="2" t="inlineStr">
        <is>
          <t>PRICING IMPACT (Y3 Revenue @ 6% conversion)</t>
        </is>
      </c>
    </row>
    <row r="10">
      <c r="A10" s="3" t="inlineStr">
        <is>
          <t>Premium Price</t>
        </is>
      </c>
      <c r="B10" s="3" t="inlineStr">
        <is>
          <t>$7.99</t>
        </is>
      </c>
      <c r="C10" s="3" t="inlineStr">
        <is>
          <t>$8.99</t>
        </is>
      </c>
      <c r="D10" s="3" t="inlineStr">
        <is>
          <t>$9.99</t>
        </is>
      </c>
      <c r="E10" s="3" t="inlineStr">
        <is>
          <t>$11.99</t>
        </is>
      </c>
      <c r="F10" s="3" t="inlineStr">
        <is>
          <t>$14.99</t>
        </is>
      </c>
    </row>
    <row r="11">
      <c r="A11" t="inlineStr">
        <is>
          <t>Revenue</t>
        </is>
      </c>
      <c r="B11" s="6" t="n">
        <v>4900000</v>
      </c>
      <c r="C11" s="6" t="n">
        <v>5500000</v>
      </c>
      <c r="D11" s="6" t="n">
        <v>6100000</v>
      </c>
      <c r="E11" s="6" t="n">
        <v>7300000</v>
      </c>
      <c r="F11" s="6" t="n">
        <v>9100000</v>
      </c>
    </row>
    <row r="12">
      <c r="A12" t="inlineStr">
        <is>
          <t>Change from Baseline</t>
        </is>
      </c>
      <c r="B12" t="inlineStr">
        <is>
          <t>-20%</t>
        </is>
      </c>
      <c r="C12" t="inlineStr">
        <is>
          <t>-10%</t>
        </is>
      </c>
      <c r="D12" t="inlineStr">
        <is>
          <t>Baseline</t>
        </is>
      </c>
      <c r="E12" t="inlineStr">
        <is>
          <t>+20%</t>
        </is>
      </c>
      <c r="F12" t="inlineStr">
        <is>
          <t>+49%</t>
        </is>
      </c>
    </row>
    <row r="15">
      <c r="A15" s="2" t="inlineStr">
        <is>
          <t>CHURN IMPACT (Y3 Revenue)</t>
        </is>
      </c>
    </row>
    <row r="16">
      <c r="A16" s="3" t="inlineStr">
        <is>
          <t>Monthly Churn</t>
        </is>
      </c>
      <c r="B16" s="3" t="inlineStr">
        <is>
          <t>3%</t>
        </is>
      </c>
      <c r="C16" s="3" t="inlineStr">
        <is>
          <t>4%</t>
        </is>
      </c>
      <c r="D16" s="3" t="inlineStr">
        <is>
          <t>5%</t>
        </is>
      </c>
      <c r="E16" s="3" t="inlineStr">
        <is>
          <t>6%</t>
        </is>
      </c>
      <c r="F16" s="3" t="inlineStr">
        <is>
          <t>7%</t>
        </is>
      </c>
    </row>
    <row r="17">
      <c r="A17" t="inlineStr">
        <is>
          <t>Revenue</t>
        </is>
      </c>
      <c r="B17" s="6" t="n">
        <v>7000000</v>
      </c>
      <c r="C17" s="6" t="n">
        <v>6500000</v>
      </c>
      <c r="D17" s="6" t="n">
        <v>6100000</v>
      </c>
      <c r="E17" s="6" t="n">
        <v>5700000</v>
      </c>
      <c r="F17" s="6" t="n">
        <v>5300000</v>
      </c>
    </row>
    <row r="18">
      <c r="A18" t="inlineStr">
        <is>
          <t>Change from Baseline</t>
        </is>
      </c>
      <c r="B18" t="inlineStr">
        <is>
          <t>+15%</t>
        </is>
      </c>
      <c r="C18" t="inlineStr">
        <is>
          <t>+7%</t>
        </is>
      </c>
      <c r="D18" t="inlineStr">
        <is>
          <t>Baseline</t>
        </is>
      </c>
      <c r="E18" t="inlineStr">
        <is>
          <t>-7%</t>
        </is>
      </c>
      <c r="F18" t="inlineStr">
        <is>
          <t>-13%</t>
        </is>
      </c>
    </row>
    <row r="21">
      <c r="A21" s="2" t="inlineStr">
        <is>
          <t>CAC IMPACT ON Y3 EBITDA</t>
        </is>
      </c>
    </row>
    <row r="22">
      <c r="A22" s="3" t="inlineStr">
        <is>
          <t>CAC</t>
        </is>
      </c>
      <c r="B22" s="3" t="inlineStr">
        <is>
          <t>$10</t>
        </is>
      </c>
      <c r="C22" s="3" t="inlineStr">
        <is>
          <t>$15</t>
        </is>
      </c>
      <c r="D22" s="3" t="inlineStr">
        <is>
          <t>$20</t>
        </is>
      </c>
      <c r="E22" s="3" t="inlineStr">
        <is>
          <t>$25</t>
        </is>
      </c>
      <c r="F22" s="3" t="inlineStr">
        <is>
          <t>$30</t>
        </is>
      </c>
    </row>
    <row r="23">
      <c r="A23" t="inlineStr">
        <is>
          <t>Y3 EBITDA</t>
        </is>
      </c>
      <c r="B23" s="6" t="n">
        <v>3500000</v>
      </c>
      <c r="C23" s="6" t="n">
        <v>3000000</v>
      </c>
      <c r="D23" s="6" t="n">
        <v>2500000</v>
      </c>
      <c r="E23" s="6" t="n">
        <v>2000000</v>
      </c>
      <c r="F23" s="6" t="n">
        <v>1500000</v>
      </c>
    </row>
    <row r="24">
      <c r="A24" t="inlineStr">
        <is>
          <t>Break-even Month</t>
        </is>
      </c>
      <c r="B24" t="inlineStr">
        <is>
          <t>Mo 12</t>
        </is>
      </c>
      <c r="C24" t="inlineStr">
        <is>
          <t>Mo 16</t>
        </is>
      </c>
      <c r="D24" t="inlineStr">
        <is>
          <t>Mo 20</t>
        </is>
      </c>
      <c r="E24" t="inlineStr">
        <is>
          <t>Mo 24</t>
        </is>
      </c>
      <c r="F24" t="inlineStr">
        <is>
          <t>Mo 28</t>
        </is>
      </c>
    </row>
    <row r="27">
      <c r="A27" s="2" t="inlineStr">
        <is>
          <t>SCENARIO SUMMARY</t>
        </is>
      </c>
    </row>
    <row r="28">
      <c r="A28" s="3" t="inlineStr">
        <is>
          <t>Scenario</t>
        </is>
      </c>
      <c r="B28" s="3" t="inlineStr">
        <is>
          <t>Y1 Revenue</t>
        </is>
      </c>
      <c r="C28" s="3" t="inlineStr">
        <is>
          <t>Y3 Revenue</t>
        </is>
      </c>
      <c r="D28" s="3" t="inlineStr">
        <is>
          <t>Y3 EBITDA</t>
        </is>
      </c>
      <c r="E28" s="3" t="inlineStr">
        <is>
          <t>Break-even</t>
        </is>
      </c>
    </row>
    <row r="29">
      <c r="A29" t="inlineStr">
        <is>
          <t>Conservative</t>
        </is>
      </c>
      <c r="B29" s="6" t="n">
        <v>120000</v>
      </c>
      <c r="C29" s="6" t="n">
        <v>2500000</v>
      </c>
      <c r="D29" s="6" t="n">
        <v>500000</v>
      </c>
      <c r="E29" t="inlineStr">
        <is>
          <t>Month 22</t>
        </is>
      </c>
    </row>
    <row r="30">
      <c r="A30" t="inlineStr">
        <is>
          <t>Moderate</t>
        </is>
      </c>
      <c r="B30" s="6" t="n">
        <v>180000</v>
      </c>
      <c r="C30" s="6" t="n">
        <v>6100000</v>
      </c>
      <c r="D30" s="6" t="n">
        <v>3000000</v>
      </c>
      <c r="E30" t="inlineStr">
        <is>
          <t>Month 16</t>
        </is>
      </c>
    </row>
    <row r="31">
      <c r="A31" t="inlineStr">
        <is>
          <t>Aggressive</t>
        </is>
      </c>
      <c r="B31" s="6" t="n">
        <v>300000</v>
      </c>
      <c r="C31" s="6" t="n">
        <v>12000000</v>
      </c>
      <c r="D31" s="6" t="n">
        <v>7000000</v>
      </c>
      <c r="E31" t="inlineStr">
        <is>
          <t>Month 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UNIT ECONOMICS</t>
        </is>
      </c>
    </row>
    <row r="3">
      <c r="A3" s="2" t="inlineStr">
        <is>
          <t>CUSTOMER LIFETIME VALUE (LTV)</t>
        </is>
      </c>
    </row>
    <row r="4">
      <c r="A4" s="3" t="inlineStr">
        <is>
          <t>Tier</t>
        </is>
      </c>
      <c r="B4" s="3" t="inlineStr">
        <is>
          <t>Monthly Price</t>
        </is>
      </c>
      <c r="C4" s="3" t="inlineStr">
        <is>
          <t>Avg Tenure</t>
        </is>
      </c>
      <c r="D4" s="3" t="inlineStr">
        <is>
          <t>Gross LTV</t>
        </is>
      </c>
      <c r="E4" s="3" t="inlineStr">
        <is>
          <t>Net LTV (after churn)</t>
        </is>
      </c>
    </row>
    <row r="5">
      <c r="A5" t="inlineStr">
        <is>
          <t>Premium</t>
        </is>
      </c>
      <c r="B5" s="17" t="n">
        <v>9.99</v>
      </c>
      <c r="C5" t="inlineStr">
        <is>
          <t>14 months</t>
        </is>
      </c>
      <c r="D5" s="7" t="n">
        <v>140</v>
      </c>
      <c r="E5" s="7" t="n">
        <v>120</v>
      </c>
    </row>
    <row r="6">
      <c r="A6" t="inlineStr">
        <is>
          <t>Pro</t>
        </is>
      </c>
      <c r="B6" s="17" t="n">
        <v>19.99</v>
      </c>
      <c r="C6" t="inlineStr">
        <is>
          <t>18 months</t>
        </is>
      </c>
      <c r="D6" s="7" t="n">
        <v>360</v>
      </c>
      <c r="E6" s="7" t="n">
        <v>320</v>
      </c>
    </row>
    <row r="7">
      <c r="A7" t="inlineStr">
        <is>
          <t>Blended</t>
        </is>
      </c>
      <c r="B7" s="17" t="n">
        <v>12.5</v>
      </c>
      <c r="C7" t="inlineStr">
        <is>
          <t>15 months</t>
        </is>
      </c>
      <c r="D7" s="7" t="n">
        <v>188</v>
      </c>
      <c r="E7" s="7" t="n">
        <v>160</v>
      </c>
    </row>
    <row r="10">
      <c r="A10" s="2" t="inlineStr">
        <is>
          <t>CUSTOMER ACQUISITION COST (CAC)</t>
        </is>
      </c>
    </row>
    <row r="11">
      <c r="A11" s="3" t="inlineStr">
        <is>
          <t>Channel</t>
        </is>
      </c>
      <c r="B11" s="3" t="inlineStr">
        <is>
          <t>CAC</t>
        </is>
      </c>
      <c r="C11" s="3" t="inlineStr">
        <is>
          <t>% of Budget</t>
        </is>
      </c>
      <c r="D11" s="3" t="inlineStr">
        <is>
          <t>Weighted CAC</t>
        </is>
      </c>
    </row>
    <row r="12">
      <c r="A12" t="inlineStr">
        <is>
          <t>Organic/SEO</t>
        </is>
      </c>
      <c r="B12" s="6" t="n">
        <v>5</v>
      </c>
      <c r="C12" t="inlineStr">
        <is>
          <t>30%</t>
        </is>
      </c>
      <c r="D12" s="18" t="n">
        <v>1.5</v>
      </c>
    </row>
    <row r="13">
      <c r="A13" t="inlineStr">
        <is>
          <t>Content Marketing</t>
        </is>
      </c>
      <c r="B13" s="6" t="n">
        <v>10</v>
      </c>
      <c r="C13" t="inlineStr">
        <is>
          <t>20%</t>
        </is>
      </c>
      <c r="D13" s="18" t="n">
        <v>2</v>
      </c>
    </row>
    <row r="14">
      <c r="A14" t="inlineStr">
        <is>
          <t>Paid Social</t>
        </is>
      </c>
      <c r="B14" s="6" t="n">
        <v>20</v>
      </c>
      <c r="C14" t="inlineStr">
        <is>
          <t>25%</t>
        </is>
      </c>
      <c r="D14" s="18" t="n">
        <v>5</v>
      </c>
    </row>
    <row r="15">
      <c r="A15" t="inlineStr">
        <is>
          <t>Paid Search</t>
        </is>
      </c>
      <c r="B15" s="6" t="n">
        <v>25</v>
      </c>
      <c r="C15" t="inlineStr">
        <is>
          <t>15%</t>
        </is>
      </c>
      <c r="D15" s="18" t="n">
        <v>3.75</v>
      </c>
    </row>
    <row r="16">
      <c r="A16" t="inlineStr">
        <is>
          <t>Influencers</t>
        </is>
      </c>
      <c r="B16" s="6" t="n">
        <v>18</v>
      </c>
      <c r="C16" t="inlineStr">
        <is>
          <t>10%</t>
        </is>
      </c>
      <c r="D16" s="18" t="n">
        <v>1.8</v>
      </c>
    </row>
    <row r="17">
      <c r="A17" t="inlineStr">
        <is>
          <t>Blended CAC</t>
        </is>
      </c>
      <c r="C17" t="inlineStr">
        <is>
          <t>100%</t>
        </is>
      </c>
      <c r="D17" s="18" t="n">
        <v>14.05</v>
      </c>
    </row>
    <row r="19">
      <c r="A19" s="2" t="inlineStr">
        <is>
          <t>LTV:CAC ANALYSIS</t>
        </is>
      </c>
    </row>
    <row r="20">
      <c r="A20" s="3" t="inlineStr">
        <is>
          <t>Metric</t>
        </is>
      </c>
      <c r="B20" s="3" t="inlineStr">
        <is>
          <t>Premium</t>
        </is>
      </c>
      <c r="C20" s="3" t="inlineStr">
        <is>
          <t>Pro</t>
        </is>
      </c>
      <c r="D20" s="3" t="inlineStr">
        <is>
          <t>Blended</t>
        </is>
      </c>
    </row>
    <row r="21">
      <c r="A21" t="inlineStr">
        <is>
          <t>LTV</t>
        </is>
      </c>
      <c r="B21" s="19" t="n">
        <v>120</v>
      </c>
      <c r="C21" s="19" t="n">
        <v>320</v>
      </c>
      <c r="D21" s="19" t="n">
        <v>160</v>
      </c>
    </row>
    <row r="22">
      <c r="A22" t="inlineStr">
        <is>
          <t>CAC</t>
        </is>
      </c>
      <c r="B22" s="19" t="n">
        <v>14</v>
      </c>
      <c r="C22" s="19" t="n">
        <v>14</v>
      </c>
      <c r="D22" s="19" t="n">
        <v>14</v>
      </c>
    </row>
    <row r="23">
      <c r="A23" t="inlineStr">
        <is>
          <t>LTV:CAC</t>
        </is>
      </c>
      <c r="B23" s="20">
        <f>B21/B22</f>
        <v/>
      </c>
      <c r="C23" s="20">
        <f>C21/C22</f>
        <v/>
      </c>
      <c r="D23" s="20">
        <f>D21/D22</f>
        <v/>
      </c>
    </row>
    <row r="24">
      <c r="A24" t="inlineStr">
        <is>
          <t>Payback (months)</t>
        </is>
      </c>
      <c r="B24" t="n">
        <v>1.4</v>
      </c>
      <c r="C24" t="n">
        <v>0.7</v>
      </c>
      <c r="D24" t="n">
        <v>1.1</v>
      </c>
    </row>
    <row r="27">
      <c r="A27" s="2" t="inlineStr">
        <is>
          <t>UNIT ECONOMICS BY YEAR</t>
        </is>
      </c>
    </row>
    <row r="28">
      <c r="A28" s="3" t="inlineStr">
        <is>
          <t>Metric</t>
        </is>
      </c>
      <c r="B28" s="3" t="inlineStr">
        <is>
          <t>Year 1</t>
        </is>
      </c>
      <c r="C28" s="3" t="inlineStr">
        <is>
          <t>Year 2</t>
        </is>
      </c>
      <c r="D28" s="3" t="inlineStr">
        <is>
          <t>Year 3</t>
        </is>
      </c>
    </row>
    <row r="29">
      <c r="A29" t="inlineStr">
        <is>
          <t>CAC</t>
        </is>
      </c>
      <c r="B29" s="6" t="n">
        <v>18</v>
      </c>
      <c r="C29" s="6" t="n">
        <v>14</v>
      </c>
      <c r="D29" s="6" t="n">
        <v>12</v>
      </c>
    </row>
    <row r="30">
      <c r="A30" t="inlineStr">
        <is>
          <t>LTV</t>
        </is>
      </c>
      <c r="B30" s="6" t="n">
        <v>100</v>
      </c>
      <c r="C30" s="6" t="n">
        <v>150</v>
      </c>
      <c r="D30" s="6" t="n">
        <v>180</v>
      </c>
    </row>
    <row r="31">
      <c r="A31" t="inlineStr">
        <is>
          <t>LTV:CAC</t>
        </is>
      </c>
      <c r="B31" s="20">
        <f>B30/B29</f>
        <v/>
      </c>
      <c r="C31" s="20">
        <f>C30/C29</f>
        <v/>
      </c>
      <c r="D31" s="20">
        <f>D30/D29</f>
        <v/>
      </c>
    </row>
    <row r="32">
      <c r="A32" t="inlineStr">
        <is>
          <t>Payback (months)</t>
        </is>
      </c>
      <c r="B32" t="n">
        <v>1.8</v>
      </c>
      <c r="C32" t="n">
        <v>1.2</v>
      </c>
      <c r="D32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</cols>
  <sheetData>
    <row r="1">
      <c r="A1" s="1" t="inlineStr">
        <is>
          <t>FUNDING &amp; RUNWAY ANALYSIS</t>
        </is>
      </c>
    </row>
    <row r="3">
      <c r="A3" s="2" t="inlineStr">
        <is>
          <t>FUNDING ASK</t>
        </is>
      </c>
    </row>
    <row r="4">
      <c r="A4" t="inlineStr">
        <is>
          <t>Seed Round</t>
        </is>
      </c>
      <c r="B4" s="12" t="n">
        <v>500000</v>
      </c>
      <c r="C4" t="inlineStr">
        <is>
          <t>18-month runway to break-even</t>
        </is>
      </c>
    </row>
    <row r="7">
      <c r="A7" s="2" t="inlineStr">
        <is>
          <t>USE OF FUNDS</t>
        </is>
      </c>
    </row>
    <row r="8">
      <c r="A8" s="3" t="inlineStr">
        <is>
          <t>Category</t>
        </is>
      </c>
      <c r="B8" s="3" t="inlineStr">
        <is>
          <t>Amount</t>
        </is>
      </c>
      <c r="C8" s="3" t="inlineStr">
        <is>
          <t>% of Total</t>
        </is>
      </c>
      <c r="D8" s="3" t="inlineStr">
        <is>
          <t>Purpose</t>
        </is>
      </c>
    </row>
    <row r="9">
      <c r="A9" t="inlineStr">
        <is>
          <t>Engineering</t>
        </is>
      </c>
      <c r="B9" s="6" t="n">
        <v>200000</v>
      </c>
      <c r="C9" s="13" t="n">
        <v>0.4</v>
      </c>
      <c r="D9" t="inlineStr">
        <is>
          <t>2 additional engineers (12 mo)</t>
        </is>
      </c>
    </row>
    <row r="10">
      <c r="A10" t="inlineStr">
        <is>
          <t>Marketing</t>
        </is>
      </c>
      <c r="B10" s="6" t="n">
        <v>150000</v>
      </c>
      <c r="C10" s="13" t="n">
        <v>0.3</v>
      </c>
      <c r="D10" t="inlineStr">
        <is>
          <t>User acquisition, content, brand</t>
        </is>
      </c>
    </row>
    <row r="11">
      <c r="A11" t="inlineStr">
        <is>
          <t>Infrastructure</t>
        </is>
      </c>
      <c r="B11" s="6" t="n">
        <v>50000</v>
      </c>
      <c r="C11" s="13" t="n">
        <v>0.1</v>
      </c>
      <c r="D11" t="inlineStr">
        <is>
          <t>Hosting, APIs, tools</t>
        </is>
      </c>
    </row>
    <row r="12">
      <c r="A12" t="inlineStr">
        <is>
          <t>Operations</t>
        </is>
      </c>
      <c r="B12" s="6" t="n">
        <v>50000</v>
      </c>
      <c r="C12" s="13" t="n">
        <v>0.1</v>
      </c>
      <c r="D12" t="inlineStr">
        <is>
          <t>Legal, accounting, office</t>
        </is>
      </c>
    </row>
    <row r="13">
      <c r="A13" t="inlineStr">
        <is>
          <t>Buffer</t>
        </is>
      </c>
      <c r="B13" s="6" t="n">
        <v>50000</v>
      </c>
      <c r="C13" s="13" t="n">
        <v>0.1</v>
      </c>
      <c r="D13" t="inlineStr">
        <is>
          <t>Contingency</t>
        </is>
      </c>
    </row>
    <row r="15">
      <c r="A15" s="2" t="inlineStr">
        <is>
          <t>Total</t>
        </is>
      </c>
      <c r="B15" s="10">
        <f>SUM(B9:B13)</f>
        <v/>
      </c>
    </row>
    <row r="18">
      <c r="A18" s="2" t="inlineStr">
        <is>
          <t>RUNWAY ANALYSIS</t>
        </is>
      </c>
    </row>
    <row r="19">
      <c r="A19" s="3" t="inlineStr">
        <is>
          <t>Scenario</t>
        </is>
      </c>
      <c r="B19" s="3" t="inlineStr">
        <is>
          <t>Monthly Burn</t>
        </is>
      </c>
      <c r="C19" s="3" t="inlineStr">
        <is>
          <t>Runway (with $500K)</t>
        </is>
      </c>
      <c r="D19" s="3" t="inlineStr">
        <is>
          <t>Break-even</t>
        </is>
      </c>
    </row>
    <row r="20">
      <c r="A20" t="inlineStr">
        <is>
          <t>Conservative</t>
        </is>
      </c>
      <c r="B20" s="6" t="n">
        <v>35000</v>
      </c>
      <c r="C20" t="inlineStr">
        <is>
          <t>14 months</t>
        </is>
      </c>
      <c r="D20" t="inlineStr">
        <is>
          <t>Month 22 (needs bridge)</t>
        </is>
      </c>
    </row>
    <row r="21">
      <c r="A21" t="inlineStr">
        <is>
          <t>Moderate</t>
        </is>
      </c>
      <c r="B21" s="6" t="n">
        <v>30000</v>
      </c>
      <c r="C21" t="inlineStr">
        <is>
          <t>17 months</t>
        </is>
      </c>
      <c r="D21" t="inlineStr">
        <is>
          <t>Month 16 ✅</t>
        </is>
      </c>
    </row>
    <row r="22">
      <c r="A22" t="inlineStr">
        <is>
          <t>Aggressive</t>
        </is>
      </c>
      <c r="B22" s="6" t="n">
        <v>25000</v>
      </c>
      <c r="C22" t="inlineStr">
        <is>
          <t>20 months</t>
        </is>
      </c>
      <c r="D22" t="inlineStr">
        <is>
          <t>Month 12 ✅</t>
        </is>
      </c>
    </row>
    <row r="25">
      <c r="A25" s="2" t="inlineStr">
        <is>
          <t>FUNDING MILESTONES</t>
        </is>
      </c>
    </row>
    <row r="26">
      <c r="A26" s="3" t="inlineStr">
        <is>
          <t>Milestone</t>
        </is>
      </c>
      <c r="B26" s="3" t="inlineStr">
        <is>
          <t>Target</t>
        </is>
      </c>
      <c r="C26" s="3" t="inlineStr">
        <is>
          <t>Timeline</t>
        </is>
      </c>
    </row>
    <row r="27">
      <c r="A27" t="inlineStr">
        <is>
          <t>Seed Close</t>
        </is>
      </c>
      <c r="B27" t="inlineStr">
        <is>
          <t>$500K</t>
        </is>
      </c>
      <c r="C27" t="inlineStr">
        <is>
          <t>Month 0</t>
        </is>
      </c>
    </row>
    <row r="28">
      <c r="A28" t="inlineStr">
        <is>
          <t>10,000 Users</t>
        </is>
      </c>
      <c r="B28" t="inlineStr">
        <is>
          <t>Acquisition</t>
        </is>
      </c>
      <c r="C28" t="inlineStr">
        <is>
          <t>Month 6</t>
        </is>
      </c>
    </row>
    <row r="29">
      <c r="A29" t="inlineStr">
        <is>
          <t>1,000 Paying Users</t>
        </is>
      </c>
      <c r="B29" t="inlineStr">
        <is>
          <t>Monetization</t>
        </is>
      </c>
      <c r="C29" t="inlineStr">
        <is>
          <t>Month 9</t>
        </is>
      </c>
    </row>
    <row r="30">
      <c r="A30" t="inlineStr">
        <is>
          <t>$25K MRR</t>
        </is>
      </c>
      <c r="B30" t="inlineStr">
        <is>
          <t>Traction</t>
        </is>
      </c>
      <c r="C30" t="inlineStr">
        <is>
          <t>Month 12</t>
        </is>
      </c>
    </row>
    <row r="31">
      <c r="A31" t="inlineStr">
        <is>
          <t>Break-even</t>
        </is>
      </c>
      <c r="B31" t="inlineStr">
        <is>
          <t>Sustainability</t>
        </is>
      </c>
      <c r="C31" t="inlineStr">
        <is>
          <t>Month 16</t>
        </is>
      </c>
    </row>
    <row r="32">
      <c r="A32" t="inlineStr">
        <is>
          <t>Series A Readiness</t>
        </is>
      </c>
      <c r="B32" t="inlineStr">
        <is>
          <t>Growth metrics</t>
        </is>
      </c>
      <c r="C32" t="inlineStr">
        <is>
          <t>Month 18</t>
        </is>
      </c>
    </row>
    <row r="35">
      <c r="A35" s="2" t="inlineStr">
        <is>
          <t>VALUATION SCENARIOS</t>
        </is>
      </c>
    </row>
    <row r="36">
      <c r="A36" s="3" t="inlineStr">
        <is>
          <t>Scenario</t>
        </is>
      </c>
      <c r="B36" s="3" t="inlineStr">
        <is>
          <t>Y3 Revenue</t>
        </is>
      </c>
      <c r="C36" s="3" t="inlineStr">
        <is>
          <t>Multiple</t>
        </is>
      </c>
      <c r="D36" s="3" t="inlineStr">
        <is>
          <t>Valuation</t>
        </is>
      </c>
    </row>
    <row r="37">
      <c r="A37" t="inlineStr">
        <is>
          <t>Conservative</t>
        </is>
      </c>
      <c r="B37" s="19" t="n">
        <v>2500000</v>
      </c>
      <c r="C37" t="inlineStr">
        <is>
          <t>8x</t>
        </is>
      </c>
      <c r="D37" s="7">
        <f>B37*8</f>
        <v/>
      </c>
    </row>
    <row r="38">
      <c r="A38" t="inlineStr">
        <is>
          <t>Moderate</t>
        </is>
      </c>
      <c r="B38" s="19" t="n">
        <v>6100000</v>
      </c>
      <c r="C38" t="inlineStr">
        <is>
          <t>10x</t>
        </is>
      </c>
      <c r="D38" s="7">
        <f>B38*10</f>
        <v/>
      </c>
    </row>
    <row r="39">
      <c r="A39" t="inlineStr">
        <is>
          <t>Aggressive</t>
        </is>
      </c>
      <c r="B39" s="19" t="n">
        <v>12000000</v>
      </c>
      <c r="C39" t="inlineStr">
        <is>
          <t>12x</t>
        </is>
      </c>
      <c r="D39" s="7">
        <f>B39*12</f>
        <v/>
      </c>
    </row>
    <row r="42">
      <c r="A42" s="2" t="inlineStr">
        <is>
          <t>INVESTOR RETURNS (20% equity for $500K)</t>
        </is>
      </c>
    </row>
    <row r="43">
      <c r="A43" s="3" t="inlineStr">
        <is>
          <t>Scenario</t>
        </is>
      </c>
      <c r="B43" s="3" t="inlineStr">
        <is>
          <t>Valuation</t>
        </is>
      </c>
      <c r="C43" s="3" t="inlineStr">
        <is>
          <t>Investor Stake (20%)</t>
        </is>
      </c>
      <c r="D43" s="3" t="inlineStr">
        <is>
          <t>Return Multiple</t>
        </is>
      </c>
    </row>
    <row r="44">
      <c r="A44" t="inlineStr">
        <is>
          <t>Conservative</t>
        </is>
      </c>
      <c r="B44" s="19">
        <f>D37</f>
        <v/>
      </c>
      <c r="C44" s="7">
        <f>B44*0.20</f>
        <v/>
      </c>
      <c r="D44" s="20">
        <f>C44/500000</f>
        <v/>
      </c>
    </row>
    <row r="45">
      <c r="A45" t="inlineStr">
        <is>
          <t>Moderate</t>
        </is>
      </c>
      <c r="B45" s="19">
        <f>D38</f>
        <v/>
      </c>
      <c r="C45" s="7">
        <f>B45*0.20</f>
        <v/>
      </c>
      <c r="D45" s="20">
        <f>C45/500000</f>
        <v/>
      </c>
    </row>
    <row r="46">
      <c r="A46" t="inlineStr">
        <is>
          <t>Aggressive</t>
        </is>
      </c>
      <c r="B46" s="19">
        <f>D39</f>
        <v/>
      </c>
      <c r="C46" s="7">
        <f>B46*0.20</f>
        <v/>
      </c>
      <c r="D46" s="20">
        <f>C46/500000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2026-01-11T10:03:34Z</dcterms:created>
  <dcterms:modified xmlns:dcterms="http://purl.org/dc/terms/" xmlns:xsi="http://www.w3.org/2001/XMLSchema-instance" xsi:type="dcterms:W3CDTF">2026-01-11T10:03:35Z</dcterms:modified>
</cp:coreProperties>
</file>